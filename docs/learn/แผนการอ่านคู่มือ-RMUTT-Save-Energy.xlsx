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นการอ่าน" sheetId="1" state="visible" r:id="rId1"/>
    <sheet xmlns:r="http://schemas.openxmlformats.org/officeDocument/2006/relationships" name="สรุปคู่มือ" sheetId="2" state="visible" r:id="rId2"/>
  </sheets>
  <definedNames>
    <definedName name="_xlnm._FilterDatabase" localSheetId="0" hidden="1">'แผนการอ่าน'!$A$5:$K$23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D7A4B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0D7A4B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7A4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1" pivotButton="0" quotePrefix="0" xfId="0"/>
    <xf numFmtId="1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3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F6" authorId="0" shapeId="0">
      <text>
        <t>บท 00 ระบุไว้ 10 นาที = 0.17 ชม.</t>
      </text>
    </comment>
    <comment ref="F10" authorId="0" shapeId="0">
      <text>
        <t>บท 04 ระบุไว้ 2–3 ชม. (รวมติดตั้ง) ใช้ค่ากลาง 2.5</t>
      </text>
    </comment>
    <comment ref="F19" authorId="0" shapeId="0">
      <text>
        <t>บท 13 ระบุ 1 ชม. + เวลาลงมือทำ</t>
      </text>
    </comment>
    <comment ref="F21" authorId="0" shapeId="0">
      <text>
        <t>บท 15–17 เป็นเอกสารเปิดดูประจำ คู่มือไม่ได้ระบุเวลา ตั้ง 0.5 ชม. สำหรับอ่านผ่านรอบแรก (สมมติฐาน แก้ได้)</t>
      </text>
    </comment>
    <comment ref="F22" authorId="0" shapeId="0">
      <text>
        <t>บท 15–17 เป็นเอกสารเปิดดูประจำ คู่มือไม่ได้ระบุเวลา ตั้ง 0.5 ชม. สำหรับอ่านผ่านรอบแรก (สมมติฐาน แก้ได้)</t>
      </text>
    </comment>
    <comment ref="F23" authorId="0" shapeId="0">
      <text>
        <t>บท 15–17 เป็นเอกสารเปิดดูประจำ คู่มือไม่ได้ระบุเวลา ตั้ง 0.5 ชม. สำหรับอ่านผ่านรอบแรก (สมมติฐาน แก้ได้)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30" customWidth="1" min="4" max="4"/>
    <col width="55" customWidth="1" min="5" max="5"/>
    <col width="14" customWidth="1" min="6" max="6"/>
    <col width="11" customWidth="1" min="7" max="7"/>
    <col width="13" customWidth="1" min="8" max="8"/>
    <col width="14" customWidth="1" min="9" max="9"/>
    <col width="13" customWidth="1" min="10" max="10"/>
    <col width="35" customWidth="1" min="11" max="11"/>
  </cols>
  <sheetData>
    <row r="1">
      <c r="A1" s="1" t="inlineStr">
        <is>
          <t>คู่มือเรียนรู้ RMUTT Save Energy — แผนการอ่านและติดตามความคืบหน้า</t>
        </is>
      </c>
    </row>
    <row r="2">
      <c r="A2" s="2" t="inlineStr">
        <is>
          <t>ไฟล์คู่มืออยู่ที่ cpe_air_remote\docs\learn\  · ช่องสีเหลือง = ช่องที่กรอกเอง (สถานะ, วันที่อ่านจบ, แบบฝึกหัด, หมายเหตุ)</t>
        </is>
      </c>
    </row>
    <row r="3">
      <c r="A3" s="2" t="inlineStr">
        <is>
          <t>ตัวอย่างการกรอก: สถานะ = อ่านจบ · วันที่อ่านจบ = 2026-10-05 · แบบฝึกหัดเสร็จ = ใช่ · หมายเหตุ = "ยังงงเรื่อง QoS กลับมาอ่านข้อ 5 อีกรอบ"</t>
        </is>
      </c>
    </row>
    <row r="5">
      <c r="A5" s="3" t="inlineStr">
        <is>
          <t>บท</t>
        </is>
      </c>
      <c r="B5" s="3" t="inlineStr">
        <is>
          <t>กลุ่ม</t>
        </is>
      </c>
      <c r="C5" s="3" t="inlineStr">
        <is>
          <t>ไฟล์</t>
        </is>
      </c>
      <c r="D5" s="3" t="inlineStr">
        <is>
          <t>หัวข้อ</t>
        </is>
      </c>
      <c r="E5" s="3" t="inlineStr">
        <is>
          <t>เนื้อหาหลัก</t>
        </is>
      </c>
      <c r="F5" s="3" t="inlineStr">
        <is>
          <t>เวลาอ่านโดยประมาณ (ชม.)</t>
        </is>
      </c>
      <c r="G5" s="3" t="inlineStr">
        <is>
          <t>สัปดาห์ในแผน</t>
        </is>
      </c>
      <c r="H5" s="3" t="inlineStr">
        <is>
          <t>สถานะ</t>
        </is>
      </c>
      <c r="I5" s="3" t="inlineStr">
        <is>
          <t>วันที่อ่านจบ</t>
        </is>
      </c>
      <c r="J5" s="3" t="inlineStr">
        <is>
          <t>แบบฝึกหัดเสร็จ</t>
        </is>
      </c>
      <c r="K5" s="3" t="inlineStr">
        <is>
          <t>หมายเหตุ</t>
        </is>
      </c>
    </row>
    <row r="6">
      <c r="A6" s="4" t="inlineStr">
        <is>
          <t>00</t>
        </is>
      </c>
      <c r="B6" s="5" t="inlineStr">
        <is>
          <t>เริ่มต้น</t>
        </is>
      </c>
      <c r="C6" s="5" t="inlineStr">
        <is>
          <t>00-เริ่มต้นอ่านที่นี่.md</t>
        </is>
      </c>
      <c r="D6" s="5" t="inlineStr">
        <is>
          <t>เริ่มต้นอ่านที่นี่</t>
        </is>
      </c>
      <c r="E6" s="5" t="inlineStr">
        <is>
          <t>สารบัญ วิธีอ่านสัญลักษณ์ แผนเรียน 6 สัปดาห์</t>
        </is>
      </c>
      <c r="F6" s="6" t="n">
        <v>0.17</v>
      </c>
      <c r="G6" s="4" t="n">
        <v>1</v>
      </c>
      <c r="H6" s="7" t="inlineStr">
        <is>
          <t>ยังไม่อ่าน</t>
        </is>
      </c>
      <c r="I6" s="8" t="n"/>
      <c r="J6" s="7" t="inlineStr">
        <is>
          <t>ไม่</t>
        </is>
      </c>
      <c r="K6" s="7" t="n"/>
    </row>
    <row r="7">
      <c r="A7" s="4" t="inlineStr">
        <is>
          <t>01</t>
        </is>
      </c>
      <c r="B7" s="5" t="inlineStr">
        <is>
          <t>พื้นฐาน</t>
        </is>
      </c>
      <c r="C7" s="5" t="inlineStr">
        <is>
          <t>01-พื้นฐานคอมพิวเตอร์และเครือข่าย.md</t>
        </is>
      </c>
      <c r="D7" s="5" t="inlineStr">
        <is>
          <t>พื้นฐานคอมพิวเตอร์และเครือข่าย</t>
        </is>
      </c>
      <c r="E7" s="5" t="inlineStr">
        <is>
          <t>Client/Server, IP, Port, HTTP, JSON, DNS, HTTPS, hash, JWT, .env</t>
        </is>
      </c>
      <c r="F7" s="6" t="n">
        <v>1</v>
      </c>
      <c r="G7" s="4" t="n">
        <v>1</v>
      </c>
      <c r="H7" s="7" t="inlineStr">
        <is>
          <t>ยังไม่อ่าน</t>
        </is>
      </c>
      <c r="I7" s="8" t="n"/>
      <c r="J7" s="7" t="inlineStr">
        <is>
          <t>ไม่</t>
        </is>
      </c>
      <c r="K7" s="7" t="n"/>
    </row>
    <row r="8">
      <c r="A8" s="4" t="inlineStr">
        <is>
          <t>02</t>
        </is>
      </c>
      <c r="B8" s="5" t="inlineStr">
        <is>
          <t>พื้นฐาน</t>
        </is>
      </c>
      <c r="C8" s="5" t="inlineStr">
        <is>
          <t>02-ภาพรวมโปรเจกต์.md</t>
        </is>
      </c>
      <c r="D8" s="5" t="inlineStr">
        <is>
          <t>ภาพรวมโปรเจกต์</t>
        </is>
      </c>
      <c r="E8" s="5" t="inlineStr">
        <is>
          <t>7 ชิ้นส่วนของระบบ แผนที่โฟลเดอร์ เส้นทางข้อมูล 3 เส้นทาง</t>
        </is>
      </c>
      <c r="F8" s="6" t="n">
        <v>1</v>
      </c>
      <c r="G8" s="4" t="n">
        <v>1</v>
      </c>
      <c r="H8" s="7" t="inlineStr">
        <is>
          <t>ยังไม่อ่าน</t>
        </is>
      </c>
      <c r="I8" s="8" t="n"/>
      <c r="J8" s="7" t="inlineStr">
        <is>
          <t>ไม่</t>
        </is>
      </c>
      <c r="K8" s="7" t="n"/>
    </row>
    <row r="9">
      <c r="A9" s="4" t="inlineStr">
        <is>
          <t>03</t>
        </is>
      </c>
      <c r="B9" s="5" t="inlineStr">
        <is>
          <t>พื้นฐาน</t>
        </is>
      </c>
      <c r="C9" s="5" t="inlineStr">
        <is>
          <t>03-Terminal-และ-PowerShell.md</t>
        </is>
      </c>
      <c r="D9" s="5" t="inlineStr">
        <is>
          <t>Terminal และ PowerShell</t>
        </is>
      </c>
      <c r="E9" s="5" t="inlineStr">
        <is>
          <t>คำสั่งพื้นฐาน path Execution Policy อ่าน run_all.ps1 ทีละบรรทัด</t>
        </is>
      </c>
      <c r="F9" s="6" t="n">
        <v>1.5</v>
      </c>
      <c r="G9" s="4" t="n">
        <v>1</v>
      </c>
      <c r="H9" s="7" t="inlineStr">
        <is>
          <t>ยังไม่อ่าน</t>
        </is>
      </c>
      <c r="I9" s="8" t="n"/>
      <c r="J9" s="7" t="inlineStr">
        <is>
          <t>ไม่</t>
        </is>
      </c>
      <c r="K9" s="7" t="n"/>
    </row>
    <row r="10">
      <c r="A10" s="4" t="inlineStr">
        <is>
          <t>04</t>
        </is>
      </c>
      <c r="B10" s="5" t="inlineStr">
        <is>
          <t>เครื่องมือ</t>
        </is>
      </c>
      <c r="C10" s="5" t="inlineStr">
        <is>
          <t>04-ติดตั้งเครื่องมือทั้งหมด.md</t>
        </is>
      </c>
      <c r="D10" s="5" t="inlineStr">
        <is>
          <t>ติดตั้งเครื่องมือทั้งหมด</t>
        </is>
      </c>
      <c r="E10" s="5" t="inlineStr">
        <is>
          <t>Node.js, Docker, MariaDB, HeidiSQL, Flutter, Visual Studio, Android Studio, Arduino IDE พร้อมคำสั่งตรวจ</t>
        </is>
      </c>
      <c r="F10" s="6" t="n">
        <v>2.5</v>
      </c>
      <c r="G10" s="4" t="n">
        <v>2</v>
      </c>
      <c r="H10" s="7" t="inlineStr">
        <is>
          <t>ยังไม่อ่าน</t>
        </is>
      </c>
      <c r="I10" s="8" t="n"/>
      <c r="J10" s="7" t="inlineStr">
        <is>
          <t>ไม่</t>
        </is>
      </c>
      <c r="K10" s="7" t="n"/>
    </row>
    <row r="11">
      <c r="A11" s="4" t="inlineStr">
        <is>
          <t>05</t>
        </is>
      </c>
      <c r="B11" s="5" t="inlineStr">
        <is>
          <t>เครื่องมือ</t>
        </is>
      </c>
      <c r="C11" s="5" t="inlineStr">
        <is>
          <t>05-Docker.md</t>
        </is>
      </c>
      <c r="D11" s="5" t="inlineStr">
        <is>
          <t>Docker</t>
        </is>
      </c>
      <c r="E11" s="5" t="inlineStr">
        <is>
          <t>Image, Container, Volume, Port mapping, Compose, healthcheck</t>
        </is>
      </c>
      <c r="F11" s="6" t="n">
        <v>1.5</v>
      </c>
      <c r="G11" s="4" t="n">
        <v>2</v>
      </c>
      <c r="H11" s="7" t="inlineStr">
        <is>
          <t>ยังไม่อ่าน</t>
        </is>
      </c>
      <c r="I11" s="8" t="n"/>
      <c r="J11" s="7" t="inlineStr">
        <is>
          <t>ไม่</t>
        </is>
      </c>
      <c r="K11" s="7" t="n"/>
    </row>
    <row r="12">
      <c r="A12" s="4" t="inlineStr">
        <is>
          <t>06</t>
        </is>
      </c>
      <c r="B12" s="5" t="inlineStr">
        <is>
          <t>เครื่องมือ</t>
        </is>
      </c>
      <c r="C12" s="5" t="inlineStr">
        <is>
          <t>06-MQTT-และ-Mosquitto.md</t>
        </is>
      </c>
      <c r="D12" s="5" t="inlineStr">
        <is>
          <t>MQTT และ Mosquitto</t>
        </is>
      </c>
      <c r="E12" s="5" t="inlineStr">
        <is>
          <t>Publish/Subscribe, Topic, QoS, Retain, LWT, ACL, คำสั่งทดสอบ</t>
        </is>
      </c>
      <c r="F12" s="6" t="n">
        <v>1.5</v>
      </c>
      <c r="G12" s="4" t="n">
        <v>2</v>
      </c>
      <c r="H12" s="7" t="inlineStr">
        <is>
          <t>ยังไม่อ่าน</t>
        </is>
      </c>
      <c r="I12" s="8" t="n"/>
      <c r="J12" s="7" t="inlineStr">
        <is>
          <t>ไม่</t>
        </is>
      </c>
      <c r="K12" s="7" t="n"/>
    </row>
    <row r="13">
      <c r="A13" s="4" t="inlineStr">
        <is>
          <t>07</t>
        </is>
      </c>
      <c r="B13" s="5" t="inlineStr">
        <is>
          <t>เครื่องมือ</t>
        </is>
      </c>
      <c r="C13" s="5" t="inlineStr">
        <is>
          <t>07-ฐานข้อมูล-MariaDB-และ-SQL.md</t>
        </is>
      </c>
      <c r="D13" s="5" t="inlineStr">
        <is>
          <t>ฐานข้อมูล MariaDB และ SQL</t>
        </is>
      </c>
      <c r="E13" s="5" t="inlineStr">
        <is>
          <t>ตาราง 9 ตาราง SQL จากตัวอย่างจริง migration doctor backup</t>
        </is>
      </c>
      <c r="F13" s="6" t="n">
        <v>2</v>
      </c>
      <c r="G13" s="4" t="n">
        <v>3</v>
      </c>
      <c r="H13" s="7" t="inlineStr">
        <is>
          <t>ยังไม่อ่าน</t>
        </is>
      </c>
      <c r="I13" s="8" t="n"/>
      <c r="J13" s="7" t="inlineStr">
        <is>
          <t>ไม่</t>
        </is>
      </c>
      <c r="K13" s="7" t="n"/>
    </row>
    <row r="14">
      <c r="A14" s="4" t="inlineStr">
        <is>
          <t>08</t>
        </is>
      </c>
      <c r="B14" s="5" t="inlineStr">
        <is>
          <t>โค้ดแต่ละส่วน</t>
        </is>
      </c>
      <c r="C14" s="5" t="inlineStr">
        <is>
          <t>08-Backend-Nodejs-Express.md</t>
        </is>
      </c>
      <c r="D14" s="5" t="inlineStr">
        <is>
          <t>Backend Node.js + Express</t>
        </is>
      </c>
      <c r="E14" s="5" t="inlineStr">
        <is>
          <t>JavaScript เบื้องต้น npm Express ระบบล็อกอิน/OTP รายการ API การทดสอบ</t>
        </is>
      </c>
      <c r="F14" s="6" t="n">
        <v>3</v>
      </c>
      <c r="G14" s="4" t="n">
        <v>3</v>
      </c>
      <c r="H14" s="7" t="inlineStr">
        <is>
          <t>ยังไม่อ่าน</t>
        </is>
      </c>
      <c r="I14" s="8" t="n"/>
      <c r="J14" s="7" t="inlineStr">
        <is>
          <t>ไม่</t>
        </is>
      </c>
      <c r="K14" s="7" t="n"/>
    </row>
    <row r="15">
      <c r="A15" s="4" t="inlineStr">
        <is>
          <t>09</t>
        </is>
      </c>
      <c r="B15" s="5" t="inlineStr">
        <is>
          <t>โค้ดแต่ละส่วน</t>
        </is>
      </c>
      <c r="C15" s="5" t="inlineStr">
        <is>
          <t>09-แอป-Flutter-Dart.md</t>
        </is>
      </c>
      <c r="D15" s="5" t="inlineStr">
        <is>
          <t>แอป Flutter (Dart)</t>
        </is>
      </c>
      <c r="E15" s="5" t="inlineStr">
        <is>
          <t>Dart, Widget, State, Controller/Service, --dart-define, build APK, test</t>
        </is>
      </c>
      <c r="F15" s="6" t="n">
        <v>3</v>
      </c>
      <c r="G15" s="4" t="n">
        <v>4</v>
      </c>
      <c r="H15" s="7" t="inlineStr">
        <is>
          <t>ยังไม่อ่าน</t>
        </is>
      </c>
      <c r="I15" s="8" t="n"/>
      <c r="J15" s="7" t="inlineStr">
        <is>
          <t>ไม่</t>
        </is>
      </c>
      <c r="K15" s="7" t="n"/>
    </row>
    <row r="16">
      <c r="A16" s="4" t="inlineStr">
        <is>
          <t>10</t>
        </is>
      </c>
      <c r="B16" s="5" t="inlineStr">
        <is>
          <t>โค้ดแต่ละส่วน</t>
        </is>
      </c>
      <c r="C16" s="5" t="inlineStr">
        <is>
          <t>10-เว็บแอป-HTML-CSS-JS.md</t>
        </is>
      </c>
      <c r="D16" s="5" t="inlineStr">
        <is>
          <t>เว็บแอป HTML/CSS/JS</t>
        </is>
      </c>
      <c r="E16" s="5" t="inlineStr">
        <is>
          <t>ES Module, fetch, localStorage, CORS, DevTools, deploy เว็บ</t>
        </is>
      </c>
      <c r="F16" s="6" t="n">
        <v>1.5</v>
      </c>
      <c r="G16" s="4" t="n">
        <v>4</v>
      </c>
      <c r="H16" s="7" t="inlineStr">
        <is>
          <t>ยังไม่อ่าน</t>
        </is>
      </c>
      <c r="I16" s="8" t="n"/>
      <c r="J16" s="7" t="inlineStr">
        <is>
          <t>ไม่</t>
        </is>
      </c>
      <c r="K16" s="7" t="n"/>
    </row>
    <row r="17">
      <c r="A17" s="4" t="inlineStr">
        <is>
          <t>11</t>
        </is>
      </c>
      <c r="B17" s="5" t="inlineStr">
        <is>
          <t>โค้ดแต่ละส่วน</t>
        </is>
      </c>
      <c r="C17" s="5" t="inlineStr">
        <is>
          <t>11-เฟิร์มแวร์-ESP32-Arduino.md</t>
        </is>
      </c>
      <c r="D17" s="5" t="inlineStr">
        <is>
          <t>เฟิร์มแวร์ ESP32 (Arduino)</t>
        </is>
      </c>
      <c r="E17" s="5" t="inlineStr">
        <is>
          <t>การต่อสาย อัปโหลด IR PZEM LD2410 BLE NVS OTA Serial Monitor</t>
        </is>
      </c>
      <c r="F17" s="6" t="n">
        <v>3</v>
      </c>
      <c r="G17" s="4" t="n">
        <v>5</v>
      </c>
      <c r="H17" s="7" t="inlineStr">
        <is>
          <t>ยังไม่อ่าน</t>
        </is>
      </c>
      <c r="I17" s="8" t="n"/>
      <c r="J17" s="7" t="inlineStr">
        <is>
          <t>ไม่</t>
        </is>
      </c>
      <c r="K17" s="7" t="n"/>
    </row>
    <row r="18">
      <c r="A18" s="4" t="inlineStr">
        <is>
          <t>12</t>
        </is>
      </c>
      <c r="B18" s="5" t="inlineStr">
        <is>
          <t>ภาพรวมทั้งระบบ</t>
        </is>
      </c>
      <c r="C18" s="5" t="inlineStr">
        <is>
          <t>12-การทำงานร่วมกันทั้งระบบ.md</t>
        </is>
      </c>
      <c r="D18" s="5" t="inlineStr">
        <is>
          <t>การทำงานร่วมกันทั้งระบบ</t>
        </is>
      </c>
      <c r="E18" s="5" t="inlineStr">
        <is>
          <t>6 เหตุการณ์: provisioning สั่งแอร์ วัดไฟ ปิดอัตโนมัติ ตารางเรียน สิทธิ์ผู้ใช้</t>
        </is>
      </c>
      <c r="F18" s="6" t="n">
        <v>2</v>
      </c>
      <c r="G18" s="4" t="n">
        <v>5</v>
      </c>
      <c r="H18" s="7" t="inlineStr">
        <is>
          <t>ยังไม่อ่าน</t>
        </is>
      </c>
      <c r="I18" s="8" t="n"/>
      <c r="J18" s="7" t="inlineStr">
        <is>
          <t>ไม่</t>
        </is>
      </c>
      <c r="K18" s="7" t="n"/>
    </row>
    <row r="19">
      <c r="A19" s="4" t="inlineStr">
        <is>
          <t>13</t>
        </is>
      </c>
      <c r="B19" s="5" t="inlineStr">
        <is>
          <t>ลงมือทำ</t>
        </is>
      </c>
      <c r="C19" s="5" t="inlineStr">
        <is>
          <t>13-รันทั้งระบบบนเครื่องตัวเอง.md</t>
        </is>
      </c>
      <c r="D19" s="5" t="inlineStr">
        <is>
          <t>รันทั้งระบบบนเครื่องตัวเอง</t>
        </is>
      </c>
      <c r="E19" s="5" t="inlineStr">
        <is>
          <t>ขั้นตอนครั้งแรก ทุกวัน ปิดระบบ รันแยกทีละส่วน สคริปต์ตรวจสุขภาพ</t>
        </is>
      </c>
      <c r="F19" s="6" t="n">
        <v>1</v>
      </c>
      <c r="G19" s="4" t="n">
        <v>6</v>
      </c>
      <c r="H19" s="7" t="inlineStr">
        <is>
          <t>ยังไม่อ่าน</t>
        </is>
      </c>
      <c r="I19" s="8" t="n"/>
      <c r="J19" s="7" t="inlineStr">
        <is>
          <t>ไม่</t>
        </is>
      </c>
      <c r="K19" s="7" t="n"/>
    </row>
    <row r="20">
      <c r="A20" s="4" t="inlineStr">
        <is>
          <t>14</t>
        </is>
      </c>
      <c r="B20" s="5" t="inlineStr">
        <is>
          <t>ลงมือทำ</t>
        </is>
      </c>
      <c r="C20" s="5" t="inlineStr">
        <is>
          <t>14-นำขึ้นเซิร์ฟเวอร์จริง.md</t>
        </is>
      </c>
      <c r="D20" s="5" t="inlineStr">
        <is>
          <t>นำขึ้นเซิร์ฟเวอร์จริง</t>
        </is>
      </c>
      <c r="E20" s="5" t="inlineStr">
        <is>
          <t>Linux, SSH, Caddy, HTTPS, ขั้นตอน deploy, อัปเดต, backup</t>
        </is>
      </c>
      <c r="F20" s="6" t="n">
        <v>2</v>
      </c>
      <c r="G20" s="4" t="n">
        <v>6</v>
      </c>
      <c r="H20" s="7" t="inlineStr">
        <is>
          <t>ยังไม่อ่าน</t>
        </is>
      </c>
      <c r="I20" s="8" t="n"/>
      <c r="J20" s="7" t="inlineStr">
        <is>
          <t>ไม่</t>
        </is>
      </c>
      <c r="K20" s="7" t="n"/>
    </row>
    <row r="21">
      <c r="A21" s="4" t="inlineStr">
        <is>
          <t>15</t>
        </is>
      </c>
      <c r="B21" s="5" t="inlineStr">
        <is>
          <t>เปิดดูประจำ</t>
        </is>
      </c>
      <c r="C21" s="5" t="inlineStr">
        <is>
          <t>15-แก้ปัญหาที่พบบ่อย.md</t>
        </is>
      </c>
      <c r="D21" s="5" t="inlineStr">
        <is>
          <t>แก้ปัญหาที่พบบ่อย</t>
        </is>
      </c>
      <c r="E21" s="5" t="inlineStr">
        <is>
          <t>ตารางอาการ → สาเหตุ → วิธีแก้ แยกตามชิ้นส่วน</t>
        </is>
      </c>
      <c r="F21" s="6" t="n">
        <v>0.5</v>
      </c>
      <c r="G21" s="4" t="n">
        <v>6</v>
      </c>
      <c r="H21" s="7" t="inlineStr">
        <is>
          <t>ยังไม่อ่าน</t>
        </is>
      </c>
      <c r="I21" s="8" t="n"/>
      <c r="J21" s="7" t="inlineStr">
        <is>
          <t>ไม่</t>
        </is>
      </c>
      <c r="K21" s="7" t="n"/>
    </row>
    <row r="22">
      <c r="A22" s="4" t="inlineStr">
        <is>
          <t>16</t>
        </is>
      </c>
      <c r="B22" s="5" t="inlineStr">
        <is>
          <t>เปิดดูประจำ</t>
        </is>
      </c>
      <c r="C22" s="5" t="inlineStr">
        <is>
          <t>16-สรุปคำสั่งทั้งหมด.md</t>
        </is>
      </c>
      <c r="D22" s="5" t="inlineStr">
        <is>
          <t>สรุปคำสั่งทั้งหมด</t>
        </is>
      </c>
      <c r="E22" s="5" t="inlineStr">
        <is>
          <t>Cheat sheet ทุกคำสั่งแยกตามเครื่องมือ</t>
        </is>
      </c>
      <c r="F22" s="6" t="n">
        <v>0.5</v>
      </c>
      <c r="G22" s="4" t="n">
        <v>6</v>
      </c>
      <c r="H22" s="7" t="inlineStr">
        <is>
          <t>ยังไม่อ่าน</t>
        </is>
      </c>
      <c r="I22" s="8" t="n"/>
      <c r="J22" s="7" t="inlineStr">
        <is>
          <t>ไม่</t>
        </is>
      </c>
      <c r="K22" s="7" t="n"/>
    </row>
    <row r="23">
      <c r="A23" s="4" t="inlineStr">
        <is>
          <t>17</t>
        </is>
      </c>
      <c r="B23" s="5" t="inlineStr">
        <is>
          <t>เปิดดูประจำ</t>
        </is>
      </c>
      <c r="C23" s="5" t="inlineStr">
        <is>
          <t>17-อภิธานศัพท์.md</t>
        </is>
      </c>
      <c r="D23" s="5" t="inlineStr">
        <is>
          <t>อภิธานศัพท์</t>
        </is>
      </c>
      <c r="E23" s="5" t="inlineStr">
        <is>
          <t>ศัพท์เทคนิค A–Z และคำในแอป ↔ ความหมายทางเทคนิค</t>
        </is>
      </c>
      <c r="F23" s="6" t="n">
        <v>0.5</v>
      </c>
      <c r="G23" s="4" t="n">
        <v>6</v>
      </c>
      <c r="H23" s="7" t="inlineStr">
        <is>
          <t>ยังไม่อ่าน</t>
        </is>
      </c>
      <c r="I23" s="8" t="n"/>
      <c r="J23" s="7" t="inlineStr">
        <is>
          <t>ไม่</t>
        </is>
      </c>
      <c r="K23" s="7" t="n"/>
    </row>
    <row r="25">
      <c r="A25" s="9" t="inlineStr">
        <is>
          <t>สรุปความคืบหน้า</t>
        </is>
      </c>
    </row>
    <row r="26">
      <c r="A26" s="10" t="inlineStr">
        <is>
          <t>จำนวนบททั้งหมด</t>
        </is>
      </c>
      <c r="B26" s="11">
        <f>COUNTA(A6:A23)</f>
        <v/>
      </c>
    </row>
    <row r="27">
      <c r="A27" s="10" t="inlineStr">
        <is>
          <t>อ่านจบแล้ว (บท)</t>
        </is>
      </c>
      <c r="B27" s="11">
        <f>COUNTIF(H6:H23,"อ่านจบ")</f>
        <v/>
      </c>
    </row>
    <row r="28">
      <c r="A28" s="10" t="inlineStr">
        <is>
          <t>กำลังอ่าน (บท)</t>
        </is>
      </c>
      <c r="B28" s="11">
        <f>COUNTIF(H6:H23,"กำลังอ่าน")</f>
        <v/>
      </c>
    </row>
    <row r="29">
      <c r="A29" s="10" t="inlineStr">
        <is>
          <t>ความคืบหน้า (%)</t>
        </is>
      </c>
      <c r="B29" s="12">
        <f>IFERROR(B27/B26,0)</f>
        <v/>
      </c>
    </row>
    <row r="30">
      <c r="A30" s="10" t="inlineStr">
        <is>
          <t>เวลาอ่านรวมโดยประมาณ (ชม.)</t>
        </is>
      </c>
      <c r="B30" s="13">
        <f>SUM(F6:F23)</f>
        <v/>
      </c>
    </row>
    <row r="31">
      <c r="A31" s="10" t="inlineStr">
        <is>
          <t>เวลาของบทที่อ่านจบแล้ว (ชม.)</t>
        </is>
      </c>
      <c r="B31" s="13">
        <f>SUMIF(H6:H23,"อ่านจบ",F6:F23)</f>
        <v/>
      </c>
    </row>
    <row r="32">
      <c r="A32" s="10" t="inlineStr">
        <is>
          <t>แบบฝึกหัดที่ทำเสร็จ (บท)</t>
        </is>
      </c>
      <c r="B32" s="11">
        <f>COUNTIF(J6:J23,"ใช่")</f>
        <v/>
      </c>
    </row>
    <row r="34">
      <c r="A34" s="9" t="inlineStr">
        <is>
          <t>ชั่วโมงอ่านต่อสัปดาห์</t>
        </is>
      </c>
    </row>
    <row r="35">
      <c r="A35" s="14" t="inlineStr">
        <is>
          <t>สัปดาห์</t>
        </is>
      </c>
      <c r="B35" s="14" t="inlineStr">
        <is>
          <t>ชั่วโมงโดยประมาณ</t>
        </is>
      </c>
      <c r="C35" s="14" t="inlineStr">
        <is>
          <t>จำนวนบท</t>
        </is>
      </c>
      <c r="D35" s="14" t="inlineStr">
        <is>
          <t>อ่านจบแล้ว</t>
        </is>
      </c>
    </row>
    <row r="36">
      <c r="A36" s="15" t="n">
        <v>1</v>
      </c>
      <c r="B36" s="16">
        <f>SUMIF($G$6:$G$23,A36,$F$6:$F$23)</f>
        <v/>
      </c>
      <c r="C36" s="15">
        <f>COUNTIF($G$6:$G$23,A36)</f>
        <v/>
      </c>
      <c r="D36" s="15">
        <f>COUNTIFS($G$6:$G$23,A36,$H$6:$H$23,"อ่านจบ")</f>
        <v/>
      </c>
    </row>
    <row r="37">
      <c r="A37" s="15" t="n">
        <v>2</v>
      </c>
      <c r="B37" s="16">
        <f>SUMIF($G$6:$G$23,A37,$F$6:$F$23)</f>
        <v/>
      </c>
      <c r="C37" s="15">
        <f>COUNTIF($G$6:$G$23,A37)</f>
        <v/>
      </c>
      <c r="D37" s="15">
        <f>COUNTIFS($G$6:$G$23,A37,$H$6:$H$23,"อ่านจบ")</f>
        <v/>
      </c>
    </row>
    <row r="38">
      <c r="A38" s="15" t="n">
        <v>3</v>
      </c>
      <c r="B38" s="16">
        <f>SUMIF($G$6:$G$23,A38,$F$6:$F$23)</f>
        <v/>
      </c>
      <c r="C38" s="15">
        <f>COUNTIF($G$6:$G$23,A38)</f>
        <v/>
      </c>
      <c r="D38" s="15">
        <f>COUNTIFS($G$6:$G$23,A38,$H$6:$H$23,"อ่านจบ")</f>
        <v/>
      </c>
    </row>
    <row r="39">
      <c r="A39" s="15" t="n">
        <v>4</v>
      </c>
      <c r="B39" s="16">
        <f>SUMIF($G$6:$G$23,A39,$F$6:$F$23)</f>
        <v/>
      </c>
      <c r="C39" s="15">
        <f>COUNTIF($G$6:$G$23,A39)</f>
        <v/>
      </c>
      <c r="D39" s="15">
        <f>COUNTIFS($G$6:$G$23,A39,$H$6:$H$23,"อ่านจบ")</f>
        <v/>
      </c>
    </row>
    <row r="40">
      <c r="A40" s="15" t="n">
        <v>5</v>
      </c>
      <c r="B40" s="16">
        <f>SUMIF($G$6:$G$23,A40,$F$6:$F$23)</f>
        <v/>
      </c>
      <c r="C40" s="15">
        <f>COUNTIF($G$6:$G$23,A40)</f>
        <v/>
      </c>
      <c r="D40" s="15">
        <f>COUNTIFS($G$6:$G$23,A40,$H$6:$H$23,"อ่านจบ")</f>
        <v/>
      </c>
    </row>
    <row r="41">
      <c r="A41" s="15" t="n">
        <v>6</v>
      </c>
      <c r="B41" s="16">
        <f>SUMIF($G$6:$G$23,A41,$F$6:$F$23)</f>
        <v/>
      </c>
      <c r="C41" s="15">
        <f>COUNTIF($G$6:$G$23,A41)</f>
        <v/>
      </c>
      <c r="D41" s="15">
        <f>COUNTIFS($G$6:$G$23,A41,$H$6:$H$23,"อ่านจบ")</f>
        <v/>
      </c>
    </row>
  </sheetData>
  <autoFilter ref="A5:K23"/>
  <conditionalFormatting sqref="A6:K23">
    <cfRule type="expression" priority="1" dxfId="0">
      <formula>$H6="อ่านจบ"</formula>
    </cfRule>
    <cfRule type="expression" priority="2" dxfId="1">
      <formula>$H6="กำลังอ่าน"</formula>
    </cfRule>
  </conditionalFormatting>
  <dataValidations count="3">
    <dataValidation sqref="H6:H23" showDropDown="0" showInputMessage="0" showErrorMessage="0" allowBlank="1" type="list">
      <formula1>"ยังไม่อ่าน,กำลังอ่าน,อ่านจบ"</formula1>
    </dataValidation>
    <dataValidation sqref="J6:J23" showDropDown="0" showInputMessage="0" showErrorMessage="0" allowBlank="1" type="list">
      <formula1>"ใช่,ไม่"</formula1>
    </dataValidation>
    <dataValidation sqref="I6:I23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90" customWidth="1" min="3" max="3"/>
  </cols>
  <sheetData>
    <row r="1">
      <c r="A1" s="1" t="inlineStr">
        <is>
          <t>สรุปคู่มือชุด docs/learn</t>
        </is>
      </c>
    </row>
    <row r="3">
      <c r="A3" s="17" t="inlineStr">
        <is>
          <t>กลุ่ม</t>
        </is>
      </c>
      <c r="B3" s="17" t="inlineStr">
        <is>
          <t>บท</t>
        </is>
      </c>
      <c r="C3" s="17" t="inlineStr">
        <is>
          <t>เนื้อหา</t>
        </is>
      </c>
    </row>
    <row r="4">
      <c r="A4" s="5" t="inlineStr">
        <is>
          <t>พื้นฐาน</t>
        </is>
      </c>
      <c r="B4" s="5" t="inlineStr">
        <is>
          <t>01–03</t>
        </is>
      </c>
      <c r="C4" s="5" t="inlineStr">
        <is>
          <t>เครือข่าย (IP, Port, HTTP, JSON, HTTPS, JWT, .env), ภาพรวมระบบกับแผนที่โฟลเดอร์ทั้งหมด, PowerShell ตั้งแต่เปิดหน้าต่างจนอ่านสคริปต์ run_all.ps1 ได้ทีละบรรทัด</t>
        </is>
      </c>
    </row>
    <row r="5">
      <c r="A5" s="5" t="inlineStr">
        <is>
          <t>เครื่องมือ</t>
        </is>
      </c>
      <c r="B5" s="5" t="inlineStr">
        <is>
          <t>04–07</t>
        </is>
      </c>
      <c r="C5" s="5" t="inlineStr">
        <is>
          <t>ติดตั้งทุกตัวพร้อมคำสั่งตรวจว่าติดตั้งสำเร็จ, Docker, MQTT/Mosquitto, MariaDB กับ SQL ที่ใช้ตัวอย่างจากตารางจริงของโปรเจกต์</t>
        </is>
      </c>
    </row>
    <row r="6">
      <c r="A6" s="5" t="inlineStr">
        <is>
          <t>โค้ดแต่ละส่วน</t>
        </is>
      </c>
      <c r="B6" s="5" t="inlineStr">
        <is>
          <t>08–11</t>
        </is>
      </c>
      <c r="C6" s="5" t="inlineStr">
        <is>
          <t>Backend (Node/Express), แอป Flutter, เว็บแอป, เฟิร์มแวร์ ESP32 (การต่อสาย, อัปโหลด, IR, PZEM, LD2410, BLE, OTA)</t>
        </is>
      </c>
    </row>
    <row r="7">
      <c r="A7" s="5" t="inlineStr">
        <is>
          <t>ภาพรวมทั้งระบบ</t>
        </is>
      </c>
      <c r="B7" s="5" t="inlineStr">
        <is>
          <t>12</t>
        </is>
      </c>
      <c r="C7" s="5" t="inlineStr">
        <is>
          <t>ตามข้อมูลทีละก้าวใน 6 เหตุการณ์ เช่น การตั้งค่าบอร์ดครั้งแรก การสั่งแอร์ การบันทึกค่าไฟ และการปิดแอร์อัตโนมัติ</t>
        </is>
      </c>
    </row>
    <row r="8">
      <c r="A8" s="5" t="inlineStr">
        <is>
          <t>ลงมือทำ</t>
        </is>
      </c>
      <c r="B8" s="5" t="inlineStr">
        <is>
          <t>13–14</t>
        </is>
      </c>
      <c r="C8" s="5" t="inlineStr">
        <is>
          <t>รันทั้งระบบบนเครื่องตัวเอง (ครั้งแรกและทุกวัน), การนำขึ้นเซิร์ฟเวอร์จริง (Linux, SSH, Caddy, การสำรองข้อมูล)</t>
        </is>
      </c>
    </row>
    <row r="9">
      <c r="A9" s="5" t="inlineStr">
        <is>
          <t>เปิดดูประจำ</t>
        </is>
      </c>
      <c r="B9" s="5" t="inlineStr">
        <is>
          <t>15–17</t>
        </is>
      </c>
      <c r="C9" s="5" t="inlineStr">
        <is>
          <t>ตารางอาการ → สาเหตุ → วิธีแก้, รวมคำสั่งทุกคำสั่ง, อภิธานศัพท์</t>
        </is>
      </c>
    </row>
    <row r="11">
      <c r="A11" s="17" t="inlineStr">
        <is>
          <t>หัวข้อ</t>
        </is>
      </c>
      <c r="B11" s="17" t="inlineStr">
        <is>
          <t>รายละเอียด</t>
        </is>
      </c>
    </row>
    <row r="12">
      <c r="A12" s="5" t="inlineStr">
        <is>
          <t>ตำแหน่งไฟล์</t>
        </is>
      </c>
      <c r="B12" s="5" t="inlineStr">
        <is>
          <t>cpe_air_remote\docs\learn\ — เริ่มอ่านที่ 00-เริ่มต้นอ่านที่นี่.md</t>
        </is>
      </c>
    </row>
    <row r="13">
      <c r="A13" s="5" t="inlineStr">
        <is>
          <t>รูปแบบ</t>
        </is>
      </c>
      <c r="B13" s="5" t="inlineStr">
        <is>
          <t>ทุกคำสั่งบอกว่าต้องพิมพ์ในโฟลเดอร์ไหน และอธิบายแต่ละส่วนของคำสั่ง ท้ายทุกบทมีแบบฝึกหัด</t>
        </is>
      </c>
    </row>
    <row r="14">
      <c r="A14" s="5" t="inlineStr">
        <is>
          <t>ความถูกต้อง</t>
        </is>
      </c>
      <c r="B14" s="5" t="inlineStr">
        <is>
          <t>คำสั่ง ชื่อไฟล์ ค่าตัวเลข และข้อความที่บอร์ดพิมพ์ออกมา เทียบกับโค้ดจริงของโปรเจกต์แล้ว</t>
        </is>
      </c>
    </row>
    <row r="15">
      <c r="A15" s="5" t="inlineStr">
        <is>
          <t>ที่ลองรันแล้ว</t>
        </is>
      </c>
      <c r="B15" s="5" t="inlineStr">
        <is>
          <t>ชุดทดสอบ Backend (npm test) ผ่านครบ 110 ข้อ</t>
        </is>
      </c>
    </row>
    <row r="16">
      <c r="A16" s="5" t="inlineStr">
        <is>
          <t>ที่ยังไม่ได้ลองรัน</t>
        </is>
      </c>
      <c r="B16" s="5" t="inlineStr">
        <is>
          <t>ขั้นตอนที่ต้องใช้เครื่อง Windows, บอร์ด ESP32 หรือเซิร์ฟเวอร์จริง ยังไม่ได้ลองทำจริงทีละขั้น</t>
        </is>
      </c>
    </row>
    <row r="17">
      <c r="A17" s="5" t="inlineStr">
        <is>
          <t>ความลับ</t>
        </is>
      </c>
      <c r="B17" s="5" t="inlineStr">
        <is>
          <t>ไม่มีรหัสผ่านหรือค่าลับจริงจาก .env ในคู่มือ ใช้ค่าตัวอย่างทั้งหมด</t>
        </is>
      </c>
    </row>
    <row r="18">
      <c r="A18" s="5" t="inlineStr">
        <is>
          <t>ความสัมพันธ์กับ docs/study</t>
        </is>
      </c>
      <c r="B18" s="5" t="inlineStr">
        <is>
          <t>docs/study อธิบายเหตุผลการออกแบบสำหรับคนที่เขียนโปรแกรมเป็นแล้ว อ่าน docs/learn จบก่อนแล้วค่อยไปต่อ</t>
        </is>
      </c>
    </row>
    <row r="19">
      <c r="A19" s="5" t="inlineStr">
        <is>
          <t>ไฟล์ชั่วคราว</t>
        </is>
      </c>
      <c r="B19" s="5" t="inlineStr">
        <is>
          <t>_src_snapshot.tar.gz ย้ายไปไว้ใน _to_delete\ แล้ว ลบทิ้งได้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2026-09-30T14:13:20Z</dcterms:created>
  <dcterms:modified xmlns:dcterms="http://purl.org/dc/terms/" xmlns:xsi="http://www.w3.org/2001/XMLSchema-instance" xsi:type="dcterms:W3CDTF">2026-09-30T14:13:20Z</dcterms:modified>
</cp:coreProperties>
</file>